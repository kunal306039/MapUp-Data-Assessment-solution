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unal\Downloads\"/>
    </mc:Choice>
  </mc:AlternateContent>
  <xr:revisionPtr revIDLastSave="0" documentId="8_{F791FC49-8D6A-4922-B2A5-2D470A062F07}" xr6:coauthVersionLast="47" xr6:coauthVersionMax="47" xr10:uidLastSave="{00000000-0000-0000-0000-000000000000}"/>
  <bookViews>
    <workbookView xWindow="-108" yWindow="-108" windowWidth="23256" windowHeight="13176" tabRatio="849" activeTab="7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  <sheet name="Sheet1" sheetId="23" r:id="rId8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15" i="23" l="1"/>
  <c r="C23" i="20"/>
  <c r="C22" i="19" a="1"/>
  <c r="C22" i="19" s="1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B7" i="18" a="1"/>
  <c r="B7" i="18" s="1"/>
  <c r="D7" i="18"/>
  <c r="E7" i="18"/>
  <c r="F7" i="18"/>
  <c r="B8" i="18" a="1"/>
  <c r="C8" i="18" s="1"/>
  <c r="B8" i="18"/>
  <c r="B9" i="18" a="1"/>
  <c r="F9" i="18" s="1"/>
  <c r="B9" i="18"/>
  <c r="C9" i="18"/>
  <c r="D9" i="18"/>
  <c r="E9" i="18"/>
  <c r="B10" i="18" a="1"/>
  <c r="B10" i="18"/>
  <c r="C10" i="18"/>
  <c r="D10" i="18"/>
  <c r="E10" i="18"/>
  <c r="F10" i="18"/>
  <c r="B11" i="18" a="1"/>
  <c r="B11" i="18" s="1"/>
  <c r="B12" i="18" a="1"/>
  <c r="D12" i="18" s="1"/>
  <c r="B12" i="18"/>
  <c r="C12" i="18"/>
  <c r="B13" i="18" a="1"/>
  <c r="F13" i="18" s="1"/>
  <c r="B13" i="18"/>
  <c r="C13" i="18"/>
  <c r="D13" i="18"/>
  <c r="E13" i="18"/>
  <c r="B14" i="18" a="1"/>
  <c r="B14" i="18"/>
  <c r="C14" i="18"/>
  <c r="D14" i="18"/>
  <c r="E14" i="18"/>
  <c r="F14" i="18"/>
  <c r="B15" i="18" a="1"/>
  <c r="B15" i="18" s="1"/>
  <c r="B16" i="18" a="1"/>
  <c r="D16" i="18" s="1"/>
  <c r="B16" i="18"/>
  <c r="C16" i="18"/>
  <c r="B17" i="18" a="1"/>
  <c r="F17" i="18" s="1"/>
  <c r="B17" i="18"/>
  <c r="C17" i="18"/>
  <c r="D17" i="18"/>
  <c r="E17" i="18"/>
  <c r="B18" i="18" a="1"/>
  <c r="B18" i="18"/>
  <c r="C18" i="18"/>
  <c r="D18" i="18"/>
  <c r="E18" i="18"/>
  <c r="F18" i="18"/>
  <c r="B19" i="18" a="1"/>
  <c r="B19" i="18" s="1"/>
  <c r="B20" i="18" a="1"/>
  <c r="D20" i="18" s="1"/>
  <c r="B20" i="18"/>
  <c r="C20" i="18"/>
  <c r="B21" i="18" a="1"/>
  <c r="F21" i="18" s="1"/>
  <c r="B21" i="18"/>
  <c r="C21" i="18"/>
  <c r="D21" i="18"/>
  <c r="E21" i="18"/>
  <c r="B22" i="18" a="1"/>
  <c r="B22" i="18"/>
  <c r="C22" i="18"/>
  <c r="D22" i="18"/>
  <c r="E22" i="18"/>
  <c r="F22" i="18"/>
  <c r="B23" i="18" a="1"/>
  <c r="B23" i="18" s="1"/>
  <c r="B24" i="18" a="1"/>
  <c r="D24" i="18" s="1"/>
  <c r="B24" i="18"/>
  <c r="C24" i="18"/>
  <c r="B25" i="18" a="1"/>
  <c r="F25" i="18" s="1"/>
  <c r="B25" i="18"/>
  <c r="C25" i="18"/>
  <c r="D25" i="18"/>
  <c r="E25" i="18"/>
  <c r="B26" i="18" a="1"/>
  <c r="B26" i="18"/>
  <c r="C26" i="18"/>
  <c r="D26" i="18"/>
  <c r="E26" i="18"/>
  <c r="F26" i="18"/>
  <c r="B27" i="18" a="1"/>
  <c r="B27" i="18" s="1"/>
  <c r="B6" i="18" a="1"/>
  <c r="B6" i="18" s="1"/>
  <c r="AA13" i="1"/>
  <c r="H41" i="1"/>
  <c r="C11" i="18" l="1"/>
  <c r="F27" i="18"/>
  <c r="F23" i="18"/>
  <c r="F19" i="18"/>
  <c r="F15" i="18"/>
  <c r="F11" i="18"/>
  <c r="E27" i="18"/>
  <c r="E23" i="18"/>
  <c r="E19" i="18"/>
  <c r="E15" i="18"/>
  <c r="E11" i="18"/>
  <c r="D27" i="18"/>
  <c r="F24" i="18"/>
  <c r="D23" i="18"/>
  <c r="F20" i="18"/>
  <c r="D19" i="18"/>
  <c r="F16" i="18"/>
  <c r="D15" i="18"/>
  <c r="F12" i="18"/>
  <c r="D11" i="18"/>
  <c r="F8" i="18"/>
  <c r="C27" i="18"/>
  <c r="E24" i="18"/>
  <c r="C23" i="18"/>
  <c r="E20" i="18"/>
  <c r="C19" i="18"/>
  <c r="E16" i="18"/>
  <c r="C15" i="18"/>
  <c r="E12" i="18"/>
  <c r="E8" i="18"/>
  <c r="C7" i="18"/>
  <c r="D8" i="18"/>
  <c r="D6" i="18"/>
  <c r="C6" i="18"/>
  <c r="F6" i="18"/>
  <c r="E6" i="18"/>
</calcChain>
</file>

<file path=xl/sharedStrings.xml><?xml version="1.0" encoding="utf-8"?>
<sst xmlns="http://schemas.openxmlformats.org/spreadsheetml/2006/main" count="440" uniqueCount="181">
  <si>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</si>
  <si>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</si>
  <si>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</si>
  <si>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</si>
  <si>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</si>
  <si>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</si>
  <si>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</si>
  <si>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</si>
  <si>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</si>
  <si>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</si>
  <si>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</si>
  <si>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</si>
  <si>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</si>
  <si>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</si>
  <si>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</si>
  <si>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</si>
  <si>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</si>
  <si>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</si>
  <si>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</si>
  <si>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</si>
  <si>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</si>
  <si>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</si>
  <si>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</si>
  <si>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</si>
  <si>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</si>
  <si>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</si>
  <si>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</si>
  <si>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</si>
  <si>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</si>
  <si>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</si>
  <si>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</si>
  <si>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</si>
  <si>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</si>
  <si>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</si>
  <si>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</si>
  <si>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</si>
  <si>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</si>
  <si>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</si>
  <si>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</si>
  <si>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</si>
  <si>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</si>
  <si>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</si>
  <si>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</si>
  <si>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</si>
  <si>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</si>
  <si>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</si>
  <si>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</si>
  <si>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</si>
  <si>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</si>
  <si>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</si>
  <si>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</si>
  <si>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</si>
  <si>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</si>
  <si>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</si>
  <si>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</si>
  <si>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</si>
  <si>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</si>
  <si>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</si>
  <si>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</si>
  <si>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</si>
  <si>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</si>
  <si>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</si>
  <si>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</si>
  <si>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</si>
  <si>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</si>
  <si>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</si>
  <si>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</si>
  <si>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</si>
  <si>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</si>
  <si>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</si>
  <si>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</si>
  <si>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</si>
  <si>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</si>
  <si>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</si>
  <si>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</si>
  <si>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</si>
  <si>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</si>
  <si>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</si>
  <si>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</si>
  <si>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</si>
  <si>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</si>
  <si>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</si>
  <si>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</si>
  <si>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</si>
  <si>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</si>
  <si>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</si>
  <si>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</si>
  <si>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</si>
  <si>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</si>
  <si>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</si>
  <si>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</si>
  <si>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</si>
  <si>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</si>
  <si>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</si>
  <si>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</si>
  <si>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</si>
  <si>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</si>
  <si>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</si>
  <si>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</si>
  <si>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</si>
  <si>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</si>
  <si>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</si>
  <si>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</si>
  <si>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</si>
  <si>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</si>
  <si>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</si>
  <si>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</si>
  <si>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</si>
  <si>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</si>
  <si>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</si>
  <si>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</si>
  <si>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</si>
  <si>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</si>
  <si>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</si>
  <si>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</si>
  <si>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</si>
  <si>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</si>
  <si>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</si>
  <si>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</si>
  <si>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</si>
  <si>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</si>
  <si>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</si>
  <si>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</si>
  <si>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</si>
  <si>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</si>
  <si>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</si>
  <si>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</si>
  <si>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</si>
  <si>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</si>
  <si>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</si>
  <si>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</si>
  <si>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</si>
  <si>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</si>
  <si>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</si>
  <si>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</si>
  <si>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</si>
  <si>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</si>
  <si>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</si>
  <si>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</si>
  <si>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</si>
  <si>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</si>
  <si>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</si>
  <si>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</si>
  <si>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</si>
  <si>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</si>
  <si>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</si>
  <si>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</si>
  <si>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</si>
  <si>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</si>
  <si>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</si>
  <si>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</si>
  <si>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</si>
  <si>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</si>
  <si>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</si>
  <si>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</si>
  <si>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</si>
  <si>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</si>
  <si>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</si>
  <si>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</si>
  <si>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</si>
  <si>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</si>
  <si>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</si>
  <si>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</si>
  <si>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</si>
  <si>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</si>
  <si>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</si>
  <si>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</si>
  <si>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</si>
  <si>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</si>
  <si>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</si>
  <si>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</si>
  <si>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</si>
  <si>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</si>
  <si>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</si>
  <si>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</si>
  <si>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</si>
  <si>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</si>
  <si>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SUMIF($D$2:$D$7,"&gt;5",$D$2:$D$7)</t>
  </si>
  <si>
    <t>we used that method called flash fill</t>
  </si>
  <si>
    <t>In columns type the values that you want to be separated and after the next cell enter ctrl+E then automatically fill the value as per value table</t>
  </si>
  <si>
    <t>#SUM(IF(ISNUMBER(C12:C21), C12:C21, 20))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</si>
</sst>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4" fillId="6" borderId="0" xfId="0" applyFont="1" applyFill="1" applyAlignment="1">
      <alignment horizontal="center"/>
    </xf>
    <xf numFmtId="0" fontId="8" fillId="6" borderId="0" xfId="0" applyFont="1" applyFill="1"/>
    <xf numFmtId="0" fontId="3" fillId="6" borderId="0" xfId="0" applyFont="1" applyFill="1"/>
    <xf numFmtId="167" fontId="7" fillId="0" borderId="0" xfId="0" applyNumberFormat="1" applyFont="1"/>
    <xf numFmtId="167" fontId="3" fillId="0" borderId="0" xfId="0" applyNumberFormat="1" applyFont="1"/>
    <xf numFmtId="0" fontId="8" fillId="6" borderId="1" xfId="0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6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7" formatCode="[$-14009]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5"/>
      <tableStyleElement type="headerRow" dxfId="34"/>
    </tableStyle>
  </tableStyles>
  <colors>
    <mruColors>
      <color rgb="FFF7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A28200-54CC-42BF-B7C1-9CCF63088309}" name="Table2" displayName="Table2" ref="A1:X41" totalsRowShown="0" headerRowDxfId="2" dataDxfId="3">
  <autoFilter ref="A1:X41" xr:uid="{91A28200-54CC-42BF-B7C1-9CCF63088309}"/>
  <tableColumns count="24">
    <tableColumn id="1" xr3:uid="{AEDC19DE-DE26-42E1-A191-B23B6C7855E4}" name="name" dataDxfId="27"/>
    <tableColumn id="2" xr3:uid="{BE027831-87BE-40D9-B596-FAF19557759E}" name="ID" dataDxfId="26"/>
    <tableColumn id="3" xr3:uid="{3342DC2D-0A90-4CCA-93F4-190C6BCC7FEC}" name="start_day" dataDxfId="25"/>
    <tableColumn id="4" xr3:uid="{1C59A32C-BC06-4DAC-82B7-6C06A399367C}" name="start_time" dataDxfId="24"/>
    <tableColumn id="5" xr3:uid="{50DAB8E6-324B-45E2-9940-CBCE9F458C6C}" name="end_day" dataDxfId="23"/>
    <tableColumn id="6" xr3:uid="{F51A4309-0BA1-4EE1-B0E0-EB2D20BEE0BC}" name="end_time" dataDxfId="22"/>
    <tableColumn id="7" xr3:uid="{5B0B6DC2-7C56-48CB-B81E-E348F7204217}" name="car1" dataDxfId="21"/>
    <tableColumn id="8" xr3:uid="{6F9CD638-8591-44B4-B751-071E86945B51}" name="car2" dataDxfId="20"/>
    <tableColumn id="9" xr3:uid="{DC73B97D-E633-47FC-88DE-AF1C8AD8B8F7}" name="car3" dataDxfId="19"/>
    <tableColumn id="10" xr3:uid="{419D7927-2F3F-4AAB-8941-61E2DB3FFCEB}" name="moto1" dataDxfId="18"/>
    <tableColumn id="11" xr3:uid="{AD2A6989-E498-4982-9B8C-A2C46D5D4BAA}" name="moto2" dataDxfId="17"/>
    <tableColumn id="12" xr3:uid="{C4CF7E56-1939-4AA5-932B-A030F45C2948}" name="moto3" dataDxfId="16"/>
    <tableColumn id="13" xr3:uid="{7F4B5DD7-AE39-4DA9-BE25-AFBC1631DA47}" name="bus1" dataDxfId="15"/>
    <tableColumn id="14" xr3:uid="{DC2C57E2-6651-4BF2-B828-392A35C5AA22}" name="bus2" dataDxfId="14"/>
    <tableColumn id="15" xr3:uid="{AFBC1598-B9C5-41EA-BC1A-05BA93BBC95A}" name="bus3" dataDxfId="13"/>
    <tableColumn id="16" xr3:uid="{78E30894-52A4-4B54-A354-F836545BA504}" name="rv1" dataDxfId="12"/>
    <tableColumn id="17" xr3:uid="{7989D91B-127F-4846-8385-51E107ECFAC8}" name="rv2" dataDxfId="11"/>
    <tableColumn id="18" xr3:uid="{61309E0D-D78A-4CB2-BA55-F7F58D008501}" name="rv3" dataDxfId="10"/>
    <tableColumn id="19" xr3:uid="{25962A71-9F3D-4DB1-B2B4-1CC746631393}" name="truck1" dataDxfId="9"/>
    <tableColumn id="20" xr3:uid="{B3D4259F-D570-48EE-8C69-DC3EBDA8749F}" name="truck2" dataDxfId="8"/>
    <tableColumn id="21" xr3:uid="{FB960411-FEE5-4A3A-AF72-1D9266E00B94}" name="taxi1" dataDxfId="7"/>
    <tableColumn id="22" xr3:uid="{8FB02753-E500-4A4D-BB1E-3B8860C04947}" name="taxi2" dataDxfId="6"/>
    <tableColumn id="23" xr3:uid="{9A56CB21-1669-49C3-9408-9D56F2B10EC4}" name="taxi3" dataDxfId="5"/>
    <tableColumn id="24" xr3:uid="{336ACB8C-C33F-49AF-A02E-24742BCF16B1}" name="date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41"/>
  <sheetViews>
    <sheetView zoomScale="73" zoomScaleNormal="100" workbookViewId="0">
      <pane ySplit="1" topLeftCell="A2" activePane="bottomLeft" state="frozen"/>
      <selection pane="bottomLeft" activeCell="G2" sqref="G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10.77734375" style="1" customWidth="1"/>
    <col min="4" max="4" width="11.88671875" style="23" customWidth="1"/>
    <col min="5" max="5" width="10" style="1" customWidth="1"/>
    <col min="6" max="6" width="11.109375" style="23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9" bestFit="1" customWidth="1"/>
    <col min="25" max="16384" width="9" style="1"/>
  </cols>
  <sheetData>
    <row r="1" spans="1:27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8" t="s">
        <v>105</v>
      </c>
    </row>
    <row r="2" spans="1:27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9">
        <v>45051</v>
      </c>
    </row>
    <row r="3" spans="1:27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9">
        <v>45048</v>
      </c>
    </row>
    <row r="4" spans="1:27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9">
        <v>45055</v>
      </c>
    </row>
    <row r="5" spans="1:27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9">
        <v>45059</v>
      </c>
    </row>
    <row r="6" spans="1:27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9">
        <v>45076</v>
      </c>
    </row>
    <row r="7" spans="1:27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9">
        <v>45057</v>
      </c>
    </row>
    <row r="8" spans="1:27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9">
        <v>45052</v>
      </c>
    </row>
    <row r="9" spans="1:27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9">
        <v>45098</v>
      </c>
    </row>
    <row r="10" spans="1:27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9">
        <v>45092</v>
      </c>
    </row>
    <row r="11" spans="1:27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9">
        <v>45104</v>
      </c>
    </row>
    <row r="12" spans="1:27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9">
        <v>45116</v>
      </c>
      <c r="Z12" s="1" t="s">
        <v>64</v>
      </c>
      <c r="AA12" s="1" t="s">
        <v>9</v>
      </c>
    </row>
    <row r="13" spans="1:27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9">
        <v>45110</v>
      </c>
      <c r="Z13" s="1" t="s">
        <v>79</v>
      </c>
      <c r="AA13" s="1">
        <f>VLOOKUP(AA12,A2:X40,7,1)</f>
        <v>29.1</v>
      </c>
    </row>
    <row r="14" spans="1:27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9">
        <v>45095</v>
      </c>
    </row>
    <row r="15" spans="1:27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9">
        <v>45113</v>
      </c>
    </row>
    <row r="16" spans="1:27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9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9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9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9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9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9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9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9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9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9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9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9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9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9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9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9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9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9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9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9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9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9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9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9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9">
        <v>45162</v>
      </c>
    </row>
    <row r="41" spans="1:24" x14ac:dyDescent="0.3">
      <c r="H41" s="1">
        <f>SUMIF(H2:H40,"&gt;=20",H2:H40)</f>
        <v>1473.0000000000002</v>
      </c>
    </row>
  </sheetData>
  <conditionalFormatting sqref="G2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A11" zoomScale="137" zoomScaleNormal="137" workbookViewId="0">
      <selection activeCell="B20" sqref="B20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s="47" customFormat="1" x14ac:dyDescent="0.3">
      <c r="A3" s="45">
        <v>1</v>
      </c>
      <c r="B3" s="46" t="s">
        <v>107</v>
      </c>
      <c r="C3" s="46" t="s">
        <v>45</v>
      </c>
      <c r="E3" s="47">
        <v>5</v>
      </c>
    </row>
    <row r="4" spans="1:5" s="47" customFormat="1" x14ac:dyDescent="0.3">
      <c r="A4" s="45">
        <v>2</v>
      </c>
      <c r="B4" s="46" t="s">
        <v>46</v>
      </c>
      <c r="C4" s="46"/>
      <c r="E4" s="47">
        <v>5</v>
      </c>
    </row>
    <row r="5" spans="1:5" x14ac:dyDescent="0.3">
      <c r="A5" s="6">
        <v>3</v>
      </c>
      <c r="B5" s="2" t="s">
        <v>104</v>
      </c>
      <c r="C5" s="33"/>
      <c r="E5" s="1">
        <v>10</v>
      </c>
    </row>
    <row r="6" spans="1:5" s="47" customFormat="1" x14ac:dyDescent="0.3">
      <c r="A6" s="45">
        <v>4</v>
      </c>
      <c r="B6" s="46" t="s">
        <v>106</v>
      </c>
      <c r="C6" s="46"/>
      <c r="E6" s="47">
        <v>5</v>
      </c>
    </row>
    <row r="7" spans="1:5" x14ac:dyDescent="0.3">
      <c r="A7" s="2"/>
      <c r="B7" s="2"/>
      <c r="C7" s="2" t="s">
        <v>177</v>
      </c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9" zoomScaleNormal="100" workbookViewId="0">
      <selection activeCell="H26" sqref="H2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 t="array" ref="B6:F6">VLOOKUP(Task_2!A6,Dataset!$A$1:$X$40,{7,14,18,20,22},0)</f>
        <v>2.7</v>
      </c>
      <c r="C6" s="11">
        <v>7.6</v>
      </c>
      <c r="D6" s="11">
        <v>4.2</v>
      </c>
      <c r="E6" s="11">
        <v>8.9</v>
      </c>
      <c r="F6" s="8">
        <v>4.2</v>
      </c>
    </row>
    <row r="7" spans="1:7" ht="14.4" x14ac:dyDescent="0.3">
      <c r="A7" s="7" t="s">
        <v>4</v>
      </c>
      <c r="B7" s="11">
        <f t="array" ref="B7:F7">VLOOKUP(Task_2!A7,Dataset!$A$1:$X$40,{7,14,18,20,22},0)</f>
        <v>2.7</v>
      </c>
      <c r="C7" s="11">
        <v>7.6</v>
      </c>
      <c r="D7" s="11">
        <v>4.2</v>
      </c>
      <c r="E7" s="11">
        <v>8.9</v>
      </c>
      <c r="F7" s="8">
        <v>4.2</v>
      </c>
    </row>
    <row r="8" spans="1:7" ht="14.4" x14ac:dyDescent="0.3">
      <c r="A8" s="7" t="s">
        <v>7</v>
      </c>
      <c r="B8" s="11">
        <f t="array" ref="B8:F8">VLOOKUP(Task_2!A8,Dataset!$A$1:$X$40,{7,14,18,20,22},0)</f>
        <v>3.6</v>
      </c>
      <c r="C8" s="11">
        <v>11.1</v>
      </c>
      <c r="D8" s="11">
        <v>5.8</v>
      </c>
      <c r="E8" s="11">
        <v>12.2</v>
      </c>
      <c r="F8" s="8">
        <v>5.8</v>
      </c>
    </row>
    <row r="9" spans="1:7" ht="14.4" x14ac:dyDescent="0.3">
      <c r="A9" s="7" t="s">
        <v>8</v>
      </c>
      <c r="B9" s="11">
        <f t="array" ref="B9:F9">VLOOKUP(Task_2!A9,Dataset!$A$1:$X$40,{7,14,18,20,22},0)</f>
        <v>4.9000000000000004</v>
      </c>
      <c r="C9" s="11">
        <v>13.3</v>
      </c>
      <c r="D9" s="11">
        <v>8.1</v>
      </c>
      <c r="E9" s="11">
        <v>17</v>
      </c>
      <c r="F9" s="8">
        <v>8.1</v>
      </c>
    </row>
    <row r="10" spans="1:7" ht="14.4" x14ac:dyDescent="0.3">
      <c r="A10" s="7" t="s">
        <v>11</v>
      </c>
      <c r="B10" s="11">
        <f t="array" ref="B10:F10">VLOOKUP(Task_2!A10,Dataset!$A$1:$X$40,{7,14,18,20,22},0)</f>
        <v>9.4</v>
      </c>
      <c r="C10" s="11">
        <v>28.3</v>
      </c>
      <c r="D10" s="11">
        <v>16.100000000000001</v>
      </c>
      <c r="E10" s="11">
        <v>32.799999999999997</v>
      </c>
      <c r="F10" s="8">
        <v>16.100000000000001</v>
      </c>
    </row>
    <row r="11" spans="1:7" ht="14.4" x14ac:dyDescent="0.3">
      <c r="A11" s="7" t="s">
        <v>12</v>
      </c>
      <c r="B11" s="11">
        <f t="array" ref="B11:F11">VLOOKUP(Task_2!A11,Dataset!$A$1:$X$40,{7,14,18,20,22},0)</f>
        <v>11.6</v>
      </c>
      <c r="C11" s="11">
        <v>35.200000000000003</v>
      </c>
      <c r="D11" s="11">
        <v>21.3</v>
      </c>
      <c r="E11" s="11">
        <v>43</v>
      </c>
      <c r="F11" s="8">
        <v>21.3</v>
      </c>
    </row>
    <row r="12" spans="1:7" ht="14.4" x14ac:dyDescent="0.3">
      <c r="A12" s="7" t="s">
        <v>14</v>
      </c>
      <c r="B12" s="11">
        <f t="array" ref="B12:F12">VLOOKUP(Task_2!A12,Dataset!$A$1:$X$40,{7,14,18,20,22},0)</f>
        <v>18.399999999999999</v>
      </c>
      <c r="C12" s="11">
        <v>55.6</v>
      </c>
      <c r="D12" s="11">
        <v>33.799999999999997</v>
      </c>
      <c r="E12" s="11">
        <v>67.900000000000006</v>
      </c>
      <c r="F12" s="8">
        <v>33.799999999999997</v>
      </c>
    </row>
    <row r="13" spans="1:7" ht="14.4" x14ac:dyDescent="0.3">
      <c r="A13" s="7" t="s">
        <v>15</v>
      </c>
      <c r="B13" s="11">
        <f t="array" ref="B13:F13">VLOOKUP(Task_2!A13,Dataset!$A$1:$X$40,{7,14,18,20,22},0)</f>
        <v>0</v>
      </c>
      <c r="C13" s="11">
        <v>0</v>
      </c>
      <c r="D13" s="11">
        <v>0</v>
      </c>
      <c r="E13" s="11">
        <v>0</v>
      </c>
      <c r="F13" s="8">
        <v>0</v>
      </c>
    </row>
    <row r="14" spans="1:7" ht="14.4" x14ac:dyDescent="0.3">
      <c r="A14" s="7" t="s">
        <v>16</v>
      </c>
      <c r="B14" s="11">
        <f t="array" ref="B14:F14">VLOOKUP(Task_2!A14,Dataset!$A$1:$X$40,{7,14,18,20,22},0)</f>
        <v>21.9</v>
      </c>
      <c r="C14" s="11">
        <v>61.5</v>
      </c>
      <c r="D14" s="11">
        <v>40.1</v>
      </c>
      <c r="E14" s="11">
        <v>76.599999999999994</v>
      </c>
      <c r="F14" s="8">
        <v>40.1</v>
      </c>
    </row>
    <row r="15" spans="1:7" ht="14.4" x14ac:dyDescent="0.3">
      <c r="A15" s="7" t="s">
        <v>18</v>
      </c>
      <c r="B15" s="11">
        <f t="array" ref="B15:F15">VLOOKUP(Task_2!A15,Dataset!$A$1:$X$40,{7,14,18,20,22},0)</f>
        <v>26.8</v>
      </c>
      <c r="C15" s="11">
        <v>79.599999999999994</v>
      </c>
      <c r="D15" s="11">
        <v>47.9</v>
      </c>
      <c r="E15" s="11">
        <v>96.8</v>
      </c>
      <c r="F15" s="8">
        <v>47.9</v>
      </c>
    </row>
    <row r="16" spans="1:7" ht="14.4" x14ac:dyDescent="0.3">
      <c r="A16" s="7" t="s">
        <v>20</v>
      </c>
      <c r="B16" s="11">
        <f t="array" ref="B16:F16">VLOOKUP(Task_2!A16,Dataset!$A$1:$X$40,{7,14,18,20,22},0)</f>
        <v>28.5</v>
      </c>
      <c r="C16" s="11">
        <v>85.4</v>
      </c>
      <c r="D16" s="11">
        <v>52.3</v>
      </c>
      <c r="E16" s="11">
        <v>106.1</v>
      </c>
      <c r="F16" s="8">
        <v>52.3</v>
      </c>
    </row>
    <row r="17" spans="1:6" ht="14.4" x14ac:dyDescent="0.3">
      <c r="A17" s="7" t="s">
        <v>22</v>
      </c>
      <c r="B17" s="11">
        <f t="array" ref="B17:F17">VLOOKUP(Task_2!A17,Dataset!$A$1:$X$40,{7,14,18,20,22},0)</f>
        <v>30.7</v>
      </c>
      <c r="C17" s="11">
        <v>92.1</v>
      </c>
      <c r="D17" s="11">
        <v>57</v>
      </c>
      <c r="E17" s="11">
        <v>115.1</v>
      </c>
      <c r="F17" s="8">
        <v>57</v>
      </c>
    </row>
    <row r="18" spans="1:6" ht="14.4" x14ac:dyDescent="0.3">
      <c r="A18" s="7" t="s">
        <v>23</v>
      </c>
      <c r="B18" s="11">
        <f t="array" ref="B18:F18">VLOOKUP(Task_2!A18,Dataset!$A$1:$X$40,{7,14,18,20,22},0)</f>
        <v>33.799999999999997</v>
      </c>
      <c r="C18" s="11">
        <v>101.3</v>
      </c>
      <c r="D18" s="11">
        <v>61.4</v>
      </c>
      <c r="E18" s="11">
        <v>124.4</v>
      </c>
      <c r="F18" s="8">
        <v>61.4</v>
      </c>
    </row>
    <row r="19" spans="1:6" ht="14.4" x14ac:dyDescent="0.3">
      <c r="A19" s="7" t="s">
        <v>24</v>
      </c>
      <c r="B19" s="11">
        <f t="array" ref="B19:F19">VLOOKUP(Task_2!A19,Dataset!$A$1:$X$40,{7,14,18,20,22},0)</f>
        <v>34.700000000000003</v>
      </c>
      <c r="C19" s="11">
        <v>106.1</v>
      </c>
      <c r="D19" s="11">
        <v>63.6</v>
      </c>
      <c r="E19" s="11">
        <v>128.6</v>
      </c>
      <c r="F19" s="8">
        <v>63.6</v>
      </c>
    </row>
    <row r="20" spans="1:6" ht="14.4" x14ac:dyDescent="0.3">
      <c r="A20" s="7" t="s">
        <v>28</v>
      </c>
      <c r="B20" s="11">
        <f t="array" ref="B20:F20">VLOOKUP(Task_2!A20,Dataset!$A$1:$X$40,{7,14,18,20,22},0)</f>
        <v>0</v>
      </c>
      <c r="C20" s="11">
        <v>0</v>
      </c>
      <c r="D20" s="11">
        <v>0</v>
      </c>
      <c r="E20" s="11">
        <v>0</v>
      </c>
      <c r="F20" s="8">
        <v>0</v>
      </c>
    </row>
    <row r="21" spans="1:6" ht="14.4" x14ac:dyDescent="0.3">
      <c r="A21" s="7" t="s">
        <v>57</v>
      </c>
      <c r="B21" s="11">
        <f t="array" ref="B21:F21">VLOOKUP(Task_2!A21,Dataset!$A$1:$X$40,{7,14,18,20,22},0)</f>
        <v>41.3</v>
      </c>
      <c r="C21" s="11">
        <v>124.4</v>
      </c>
      <c r="D21" s="11">
        <v>75</v>
      </c>
      <c r="E21" s="11">
        <v>151.5</v>
      </c>
      <c r="F21" s="8">
        <v>75</v>
      </c>
    </row>
    <row r="22" spans="1:6" ht="14.4" x14ac:dyDescent="0.3">
      <c r="A22" s="7" t="s">
        <v>58</v>
      </c>
      <c r="B22" s="11">
        <f t="array" ref="B22:F22">VLOOKUP(Task_2!A22,Dataset!$A$1:$X$40,{7,14,18,20,22},0)</f>
        <v>-1</v>
      </c>
      <c r="C22" s="11">
        <v>-1</v>
      </c>
      <c r="D22" s="11">
        <v>-1</v>
      </c>
      <c r="E22" s="11">
        <v>-1</v>
      </c>
      <c r="F22" s="8">
        <v>-1</v>
      </c>
    </row>
    <row r="23" spans="1:6" ht="14.4" x14ac:dyDescent="0.3">
      <c r="A23" s="7" t="s">
        <v>31</v>
      </c>
      <c r="B23" s="11">
        <f t="array" ref="B23:F23">VLOOKUP(Task_2!A23,Dataset!$A$1:$X$40,{7,14,18,20,22},0)</f>
        <v>45</v>
      </c>
      <c r="C23" s="11">
        <v>133.4</v>
      </c>
      <c r="D23" s="11">
        <v>79.400000000000006</v>
      </c>
      <c r="E23" s="11">
        <v>160.9</v>
      </c>
      <c r="F23" s="8">
        <v>79.400000000000006</v>
      </c>
    </row>
    <row r="24" spans="1:6" ht="14.4" x14ac:dyDescent="0.3">
      <c r="A24" s="7" t="s">
        <v>32</v>
      </c>
      <c r="B24" s="11">
        <f t="array" ref="B24:F24">VLOOKUP(Task_2!A24,Dataset!$A$1:$X$40,{7,14,18,20,22},0)</f>
        <v>-1</v>
      </c>
      <c r="C24" s="11">
        <v>-1</v>
      </c>
      <c r="D24" s="11">
        <v>-1</v>
      </c>
      <c r="E24" s="11">
        <v>-1</v>
      </c>
      <c r="F24" s="8">
        <v>-1</v>
      </c>
    </row>
    <row r="25" spans="1:6" ht="14.4" x14ac:dyDescent="0.3">
      <c r="A25" s="7" t="s">
        <v>34</v>
      </c>
      <c r="B25" s="11">
        <f t="array" ref="B25:F25">VLOOKUP(Task_2!A25,Dataset!$A$1:$X$40,{7,14,18,20,22},0)</f>
        <v>43.3</v>
      </c>
      <c r="C25" s="11">
        <v>128.6</v>
      </c>
      <c r="D25" s="11">
        <v>79.400000000000006</v>
      </c>
      <c r="E25" s="11">
        <v>160.9</v>
      </c>
      <c r="F25" s="8">
        <v>79.400000000000006</v>
      </c>
    </row>
    <row r="26" spans="1:6" ht="14.4" x14ac:dyDescent="0.3">
      <c r="A26" s="7" t="s">
        <v>37</v>
      </c>
      <c r="B26" s="11">
        <f t="array" ref="B26:F26">VLOOKUP(Task_2!A26,Dataset!$A$1:$X$40,{7,14,18,20,22},0)</f>
        <v>49.1</v>
      </c>
      <c r="C26" s="11">
        <v>146.80000000000001</v>
      </c>
      <c r="D26" s="11">
        <v>90.9</v>
      </c>
      <c r="E26" s="11">
        <v>183.5</v>
      </c>
      <c r="F26" s="8">
        <v>90.9</v>
      </c>
    </row>
    <row r="27" spans="1:6" ht="14.4" x14ac:dyDescent="0.3">
      <c r="A27" s="7" t="s">
        <v>39</v>
      </c>
      <c r="B27" s="11">
        <f t="array" ref="B27:F27">VLOOKUP(Task_2!A27,Dataset!$A$1:$X$40,{7,14,18,20,22},0)</f>
        <v>51.8</v>
      </c>
      <c r="C27" s="11">
        <v>156.4</v>
      </c>
      <c r="D27" s="11">
        <v>93.1</v>
      </c>
      <c r="E27" s="11">
        <v>188.1</v>
      </c>
      <c r="F27" s="8"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7" zoomScaleNormal="100" workbookViewId="0">
      <selection activeCell="I7" sqref="I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178</v>
      </c>
    </row>
    <row r="6" spans="1:10" ht="18" x14ac:dyDescent="0.35">
      <c r="A6" s="42" t="s">
        <v>153</v>
      </c>
      <c r="B6" s="39" t="s">
        <v>179</v>
      </c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9" t="s">
        <v>120</v>
      </c>
      <c r="B54" s="12">
        <v>21016</v>
      </c>
      <c r="C54" s="1" t="s">
        <v>5</v>
      </c>
      <c r="D54" s="11">
        <v>0</v>
      </c>
      <c r="E54" s="1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9" sqref="E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180</v>
      </c>
    </row>
    <row r="7" spans="1:3" ht="14.4" x14ac:dyDescent="0.3">
      <c r="A7" s="3" t="s">
        <v>153</v>
      </c>
      <c r="B7" s="1"/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50">
        <f t="array" ref="C22">SUM(IF(ISNUMBER(C12:C21), 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sqref="A1:L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 t="e">
        <f>INDEX($B$2:$J$10,MATCH($A2,$A$2:$A$10,0),MATCH(B$1,$B$1:$J$1,0))</f>
        <v>#N/A</v>
      </c>
    </row>
    <row r="24" spans="1:14" ht="14.4" x14ac:dyDescent="0.3">
      <c r="A24" s="7">
        <v>10100</v>
      </c>
      <c r="B24" s="11">
        <v>10104</v>
      </c>
      <c r="C24" s="43"/>
    </row>
    <row r="25" spans="1:14" ht="14.4" x14ac:dyDescent="0.3">
      <c r="A25" s="7">
        <v>10108</v>
      </c>
      <c r="B25" s="11">
        <v>10102</v>
      </c>
      <c r="C25" s="43"/>
    </row>
    <row r="26" spans="1:14" ht="14.4" x14ac:dyDescent="0.3">
      <c r="A26" s="7">
        <v>10100</v>
      </c>
      <c r="B26" s="11">
        <v>10106</v>
      </c>
      <c r="C26" s="43"/>
    </row>
    <row r="27" spans="1:14" ht="14.4" x14ac:dyDescent="0.3">
      <c r="A27" s="7">
        <v>10108</v>
      </c>
      <c r="B27" s="11">
        <v>10110</v>
      </c>
      <c r="C27" s="43"/>
    </row>
    <row r="28" spans="1:14" ht="14.4" x14ac:dyDescent="0.3">
      <c r="A28" s="7">
        <v>10102</v>
      </c>
      <c r="B28" s="11">
        <v>10104</v>
      </c>
      <c r="C28" s="43"/>
    </row>
    <row r="29" spans="1:14" ht="14.4" x14ac:dyDescent="0.3">
      <c r="A29" s="7">
        <v>10106</v>
      </c>
      <c r="B29" s="11">
        <v>10108</v>
      </c>
      <c r="C29" s="43"/>
    </row>
    <row r="30" spans="1:14" ht="14.4" x14ac:dyDescent="0.3">
      <c r="A30" s="7">
        <v>10102</v>
      </c>
      <c r="B30" s="11">
        <v>10106</v>
      </c>
      <c r="C30" s="43"/>
    </row>
    <row r="31" spans="1:14" ht="14.4" x14ac:dyDescent="0.3">
      <c r="A31" s="7">
        <v>10110</v>
      </c>
      <c r="B31" s="11">
        <v>10114</v>
      </c>
      <c r="C31" s="43"/>
    </row>
    <row r="32" spans="1:14" ht="14.4" x14ac:dyDescent="0.3">
      <c r="A32" s="7">
        <v>10104</v>
      </c>
      <c r="B32" s="11">
        <v>10106</v>
      </c>
      <c r="C32" s="43"/>
    </row>
    <row r="33" spans="1:3" ht="14.4" x14ac:dyDescent="0.3">
      <c r="A33" s="7">
        <v>10110</v>
      </c>
      <c r="B33" s="11">
        <v>10112</v>
      </c>
      <c r="C33" s="43"/>
    </row>
    <row r="34" spans="1:3" ht="14.4" x14ac:dyDescent="0.3">
      <c r="A34" s="7">
        <v>10100</v>
      </c>
      <c r="B34" s="11">
        <v>10114</v>
      </c>
      <c r="C34" s="43"/>
    </row>
    <row r="35" spans="1:3" ht="14.4" x14ac:dyDescent="0.3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07B91-E139-45AC-994E-8D38CA7A53E0}">
  <dimension ref="A1:T27"/>
  <sheetViews>
    <sheetView tabSelected="1" workbookViewId="0">
      <selection activeCell="C15" sqref="C15"/>
    </sheetView>
  </sheetViews>
  <sheetFormatPr defaultRowHeight="13.2" x14ac:dyDescent="0.25"/>
  <sheetData>
    <row r="1" spans="1:20" ht="14.4" x14ac:dyDescent="0.3">
      <c r="A1" s="25"/>
      <c r="B1" s="25" t="s">
        <v>89</v>
      </c>
      <c r="C1" s="25" t="s">
        <v>90</v>
      </c>
      <c r="D1" s="25" t="s">
        <v>91</v>
      </c>
      <c r="E1" s="25" t="s">
        <v>92</v>
      </c>
      <c r="F1" s="25" t="s">
        <v>93</v>
      </c>
      <c r="G1" s="25" t="s">
        <v>94</v>
      </c>
      <c r="H1" s="25" t="s">
        <v>95</v>
      </c>
      <c r="I1" s="25" t="s">
        <v>96</v>
      </c>
      <c r="J1" s="25" t="s">
        <v>97</v>
      </c>
      <c r="M1" s="18" t="s">
        <v>43</v>
      </c>
      <c r="N1" s="18" t="s">
        <v>99</v>
      </c>
      <c r="O1" s="2"/>
      <c r="P1" s="2"/>
      <c r="Q1" s="2"/>
      <c r="R1" s="2"/>
      <c r="S1" s="2"/>
      <c r="T1" s="2"/>
    </row>
    <row r="2" spans="1:20" ht="14.4" x14ac:dyDescent="0.3">
      <c r="A2" s="25" t="s">
        <v>89</v>
      </c>
      <c r="B2" s="24">
        <v>-1</v>
      </c>
      <c r="C2" s="24">
        <v>95</v>
      </c>
      <c r="D2" s="24">
        <v>-1</v>
      </c>
      <c r="E2" s="24">
        <v>185</v>
      </c>
      <c r="F2" s="24">
        <v>255</v>
      </c>
      <c r="G2" s="24">
        <v>305</v>
      </c>
      <c r="H2" s="24">
        <v>415</v>
      </c>
      <c r="I2" s="24">
        <v>480</v>
      </c>
      <c r="J2" s="24">
        <v>525</v>
      </c>
      <c r="M2" s="11">
        <v>10100</v>
      </c>
      <c r="N2" s="11" t="s">
        <v>89</v>
      </c>
      <c r="O2" s="2"/>
      <c r="P2" s="2"/>
      <c r="Q2" s="2"/>
      <c r="R2" s="2"/>
      <c r="S2" s="2"/>
      <c r="T2" s="2"/>
    </row>
    <row r="3" spans="1:20" ht="14.4" x14ac:dyDescent="0.3">
      <c r="A3" s="25" t="s">
        <v>90</v>
      </c>
      <c r="B3" s="24">
        <v>95</v>
      </c>
      <c r="C3" s="24">
        <v>-1</v>
      </c>
      <c r="D3" s="24">
        <v>-1</v>
      </c>
      <c r="E3" s="24">
        <v>90</v>
      </c>
      <c r="F3" s="24">
        <v>160</v>
      </c>
      <c r="G3" s="24">
        <v>210</v>
      </c>
      <c r="H3" s="24">
        <v>325</v>
      </c>
      <c r="I3" s="24">
        <v>390</v>
      </c>
      <c r="J3" s="24">
        <v>430</v>
      </c>
      <c r="M3" s="11">
        <v>10102</v>
      </c>
      <c r="N3" s="11" t="s">
        <v>90</v>
      </c>
      <c r="O3" s="2"/>
      <c r="P3" s="2"/>
      <c r="Q3" s="2"/>
      <c r="R3" s="2"/>
      <c r="S3" s="2"/>
      <c r="T3" s="2"/>
    </row>
    <row r="4" spans="1:20" ht="14.4" x14ac:dyDescent="0.3">
      <c r="A4" s="25" t="s">
        <v>91</v>
      </c>
      <c r="B4" s="24">
        <v>-1</v>
      </c>
      <c r="C4" s="24">
        <v>-1</v>
      </c>
      <c r="D4" s="24">
        <v>-1</v>
      </c>
      <c r="E4" s="24">
        <v>60</v>
      </c>
      <c r="F4" s="24">
        <v>130</v>
      </c>
      <c r="G4" s="24">
        <v>180</v>
      </c>
      <c r="H4" s="24">
        <v>295</v>
      </c>
      <c r="I4" s="24">
        <v>355</v>
      </c>
      <c r="J4" s="24">
        <v>400</v>
      </c>
      <c r="M4" s="11">
        <v>10104</v>
      </c>
      <c r="N4" s="11" t="s">
        <v>91</v>
      </c>
      <c r="O4" s="2"/>
      <c r="P4" s="2"/>
      <c r="Q4" s="2"/>
      <c r="R4" s="2"/>
      <c r="S4" s="2"/>
      <c r="T4" s="2"/>
    </row>
    <row r="5" spans="1:20" ht="14.4" x14ac:dyDescent="0.3">
      <c r="A5" s="25" t="s">
        <v>92</v>
      </c>
      <c r="B5" s="24">
        <v>185</v>
      </c>
      <c r="C5" s="24">
        <v>90</v>
      </c>
      <c r="D5" s="24">
        <v>60</v>
      </c>
      <c r="E5" s="24">
        <v>-1</v>
      </c>
      <c r="F5" s="24">
        <v>70</v>
      </c>
      <c r="G5" s="24">
        <v>120</v>
      </c>
      <c r="H5" s="24">
        <v>235</v>
      </c>
      <c r="I5" s="24">
        <v>300</v>
      </c>
      <c r="J5" s="24">
        <v>340</v>
      </c>
      <c r="M5" s="11">
        <v>10106</v>
      </c>
      <c r="N5" s="11" t="s">
        <v>92</v>
      </c>
      <c r="O5" s="2"/>
      <c r="P5" s="2"/>
      <c r="Q5" s="2"/>
      <c r="R5" s="2"/>
      <c r="S5" s="2"/>
      <c r="T5" s="2"/>
    </row>
    <row r="6" spans="1:20" ht="14.4" x14ac:dyDescent="0.3">
      <c r="A6" s="25" t="s">
        <v>93</v>
      </c>
      <c r="B6" s="24">
        <v>255</v>
      </c>
      <c r="C6" s="24">
        <v>160</v>
      </c>
      <c r="D6" s="24">
        <v>130</v>
      </c>
      <c r="E6" s="24">
        <v>70</v>
      </c>
      <c r="F6" s="24">
        <v>-1</v>
      </c>
      <c r="G6" s="24">
        <v>50</v>
      </c>
      <c r="H6" s="24">
        <v>165</v>
      </c>
      <c r="I6" s="24">
        <v>230</v>
      </c>
      <c r="J6" s="24">
        <v>270</v>
      </c>
      <c r="M6" s="11">
        <v>10108</v>
      </c>
      <c r="N6" s="11" t="s">
        <v>93</v>
      </c>
      <c r="O6" s="2"/>
      <c r="P6" s="2"/>
      <c r="Q6" s="2"/>
      <c r="R6" s="2"/>
      <c r="S6" s="2"/>
      <c r="T6" s="2"/>
    </row>
    <row r="7" spans="1:20" ht="14.4" x14ac:dyDescent="0.3">
      <c r="A7" s="25" t="s">
        <v>94</v>
      </c>
      <c r="B7" s="24">
        <v>305</v>
      </c>
      <c r="C7" s="24">
        <v>210</v>
      </c>
      <c r="D7" s="24">
        <v>180</v>
      </c>
      <c r="E7" s="24">
        <v>120</v>
      </c>
      <c r="F7" s="24">
        <v>50</v>
      </c>
      <c r="G7" s="24">
        <v>-1</v>
      </c>
      <c r="H7" s="24">
        <v>115</v>
      </c>
      <c r="I7" s="24">
        <v>180</v>
      </c>
      <c r="J7" s="24">
        <v>220</v>
      </c>
      <c r="M7" s="11">
        <v>10110</v>
      </c>
      <c r="N7" s="11" t="s">
        <v>94</v>
      </c>
      <c r="O7" s="2"/>
      <c r="P7" s="2"/>
      <c r="Q7" s="2"/>
      <c r="R7" s="2"/>
      <c r="S7" s="2"/>
      <c r="T7" s="2"/>
    </row>
    <row r="8" spans="1:20" ht="14.4" x14ac:dyDescent="0.3">
      <c r="A8" s="25" t="s">
        <v>95</v>
      </c>
      <c r="B8" s="24">
        <v>415</v>
      </c>
      <c r="C8" s="24">
        <v>325</v>
      </c>
      <c r="D8" s="24">
        <v>295</v>
      </c>
      <c r="E8" s="24">
        <v>235</v>
      </c>
      <c r="F8" s="24">
        <v>165</v>
      </c>
      <c r="G8" s="24">
        <v>115</v>
      </c>
      <c r="H8" s="24">
        <v>-1</v>
      </c>
      <c r="I8" s="24">
        <v>65</v>
      </c>
      <c r="J8" s="24">
        <v>105</v>
      </c>
      <c r="M8" s="11">
        <v>10112</v>
      </c>
      <c r="N8" s="11" t="s">
        <v>95</v>
      </c>
      <c r="O8" s="2"/>
      <c r="P8" s="2"/>
      <c r="Q8" s="2"/>
      <c r="R8" s="2"/>
      <c r="S8" s="2"/>
      <c r="T8" s="2"/>
    </row>
    <row r="9" spans="1:20" ht="14.4" x14ac:dyDescent="0.3">
      <c r="A9" s="25" t="s">
        <v>96</v>
      </c>
      <c r="B9" s="24">
        <v>480</v>
      </c>
      <c r="C9" s="24">
        <v>390</v>
      </c>
      <c r="D9" s="24">
        <v>355</v>
      </c>
      <c r="E9" s="24">
        <v>300</v>
      </c>
      <c r="F9" s="24">
        <v>230</v>
      </c>
      <c r="G9" s="24">
        <v>180</v>
      </c>
      <c r="H9" s="24">
        <v>65</v>
      </c>
      <c r="I9" s="24">
        <v>-1</v>
      </c>
      <c r="J9" s="24">
        <v>40</v>
      </c>
      <c r="M9" s="11">
        <v>10114</v>
      </c>
      <c r="N9" s="11" t="s">
        <v>96</v>
      </c>
      <c r="O9" s="2"/>
      <c r="P9" s="2"/>
      <c r="Q9" s="2"/>
      <c r="R9" s="2"/>
      <c r="S9" s="2"/>
      <c r="T9" s="2"/>
    </row>
    <row r="10" spans="1:20" ht="14.4" x14ac:dyDescent="0.3">
      <c r="A10" s="25" t="s">
        <v>97</v>
      </c>
      <c r="B10" s="24">
        <v>525</v>
      </c>
      <c r="C10" s="24">
        <v>430</v>
      </c>
      <c r="D10" s="24">
        <v>400</v>
      </c>
      <c r="E10" s="24">
        <v>340</v>
      </c>
      <c r="F10" s="24">
        <v>270</v>
      </c>
      <c r="G10" s="24">
        <v>220</v>
      </c>
      <c r="H10" s="24">
        <v>105</v>
      </c>
      <c r="I10" s="24">
        <v>40</v>
      </c>
      <c r="J10" s="24">
        <v>-1</v>
      </c>
      <c r="M10" s="12">
        <v>10116</v>
      </c>
      <c r="N10" s="12" t="s">
        <v>97</v>
      </c>
      <c r="O10" s="2"/>
      <c r="P10" s="2"/>
      <c r="Q10" s="2"/>
      <c r="R10" s="2"/>
      <c r="S10" s="2"/>
      <c r="T10" s="2"/>
    </row>
    <row r="13" spans="1:20" ht="23.4" x14ac:dyDescent="0.45">
      <c r="A13" s="17" t="s">
        <v>168</v>
      </c>
      <c r="B13" s="2"/>
      <c r="C13" s="2"/>
    </row>
    <row r="14" spans="1:20" ht="14.4" x14ac:dyDescent="0.3">
      <c r="A14" s="13" t="s">
        <v>100</v>
      </c>
      <c r="B14" s="16" t="s">
        <v>101</v>
      </c>
      <c r="C14" s="15" t="s">
        <v>102</v>
      </c>
    </row>
    <row r="15" spans="1:20" ht="14.4" x14ac:dyDescent="0.3">
      <c r="A15" s="7">
        <v>10100</v>
      </c>
      <c r="B15" s="11">
        <v>10102</v>
      </c>
      <c r="C15" s="43" t="str">
        <f>IFERROR(INDEX($B$1:$J$9,MATCH($A1,$A$1:$A$9,0),MATCH(#REF!,#REF!,0)), "")</f>
        <v/>
      </c>
    </row>
    <row r="16" spans="1:20" ht="14.4" x14ac:dyDescent="0.3">
      <c r="A16" s="7">
        <v>10100</v>
      </c>
      <c r="B16" s="11">
        <v>10104</v>
      </c>
      <c r="C16" s="43"/>
    </row>
    <row r="17" spans="1:3" ht="14.4" x14ac:dyDescent="0.3">
      <c r="A17" s="7">
        <v>10108</v>
      </c>
      <c r="B17" s="11">
        <v>10102</v>
      </c>
      <c r="C17" s="43"/>
    </row>
    <row r="18" spans="1:3" ht="14.4" x14ac:dyDescent="0.3">
      <c r="A18" s="7">
        <v>10100</v>
      </c>
      <c r="B18" s="11">
        <v>10106</v>
      </c>
      <c r="C18" s="43"/>
    </row>
    <row r="19" spans="1:3" ht="14.4" x14ac:dyDescent="0.3">
      <c r="A19" s="7">
        <v>10108</v>
      </c>
      <c r="B19" s="11">
        <v>10110</v>
      </c>
      <c r="C19" s="43"/>
    </row>
    <row r="20" spans="1:3" ht="14.4" x14ac:dyDescent="0.3">
      <c r="A20" s="7">
        <v>10102</v>
      </c>
      <c r="B20" s="11">
        <v>10104</v>
      </c>
      <c r="C20" s="43"/>
    </row>
    <row r="21" spans="1:3" ht="14.4" x14ac:dyDescent="0.3">
      <c r="A21" s="7">
        <v>10106</v>
      </c>
      <c r="B21" s="11">
        <v>10108</v>
      </c>
      <c r="C21" s="43"/>
    </row>
    <row r="22" spans="1:3" ht="14.4" x14ac:dyDescent="0.3">
      <c r="A22" s="7">
        <v>10102</v>
      </c>
      <c r="B22" s="11">
        <v>10106</v>
      </c>
      <c r="C22" s="43"/>
    </row>
    <row r="23" spans="1:3" ht="14.4" x14ac:dyDescent="0.3">
      <c r="A23" s="7">
        <v>10110</v>
      </c>
      <c r="B23" s="11">
        <v>10114</v>
      </c>
      <c r="C23" s="43"/>
    </row>
    <row r="24" spans="1:3" ht="14.4" x14ac:dyDescent="0.3">
      <c r="A24" s="7">
        <v>10104</v>
      </c>
      <c r="B24" s="11">
        <v>10106</v>
      </c>
      <c r="C24" s="43"/>
    </row>
    <row r="25" spans="1:3" ht="14.4" x14ac:dyDescent="0.3">
      <c r="A25" s="7">
        <v>10110</v>
      </c>
      <c r="B25" s="11">
        <v>10112</v>
      </c>
      <c r="C25" s="43"/>
    </row>
    <row r="26" spans="1:3" ht="14.4" x14ac:dyDescent="0.3">
      <c r="A26" s="7">
        <v>10100</v>
      </c>
      <c r="B26" s="11">
        <v>10114</v>
      </c>
      <c r="C26" s="43"/>
    </row>
    <row r="27" spans="1:3" ht="14.4" x14ac:dyDescent="0.3">
      <c r="A27" s="9">
        <v>10112</v>
      </c>
      <c r="B27" s="12">
        <v>10116</v>
      </c>
      <c r="C27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Kunal</cp:lastModifiedBy>
  <dcterms:created xsi:type="dcterms:W3CDTF">2015-02-10T17:33:11Z</dcterms:created>
  <dcterms:modified xsi:type="dcterms:W3CDTF">2023-12-09T17:58:33Z</dcterms:modified>
</cp:coreProperties>
</file>